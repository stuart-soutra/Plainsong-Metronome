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napierac-my.sharepoint.com/personal/s_thomas_napier_ac_uk/Documents/Altium Projects/2024001 A Soutra Plainsong Metronome/2024001 A Soutra Plainsong Metronome/OUTPUTS/BoM/"/>
    </mc:Choice>
  </mc:AlternateContent>
  <xr:revisionPtr revIDLastSave="47" documentId="8_{0139F737-E1FA-4D71-B7F7-9F0D2009E2F1}" xr6:coauthVersionLast="47" xr6:coauthVersionMax="47" xr10:uidLastSave="{D6851442-AC35-488B-8F9E-A17CE1E1BF00}"/>
  <bookViews>
    <workbookView xWindow="28680" yWindow="-120" windowWidth="29040" windowHeight="15840" xr2:uid="{00000000-000D-0000-FFFF-FFFF00000000}"/>
  </bookViews>
  <sheets>
    <sheet name="Manufacturing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<sst xmlns="http://schemas.openxmlformats.org/spreadsheetml/2006/main" count="369" uniqueCount="275">
  <si>
    <t>Bill of Materials for:</t>
  </si>
  <si>
    <t>Source Data From:</t>
  </si>
  <si>
    <t>Variant:</t>
  </si>
  <si>
    <t>Report Date:</t>
  </si>
  <si>
    <t>soutraelectronics@gmail.com</t>
  </si>
  <si>
    <t>14 Ryehill Gardens</t>
  </si>
  <si>
    <t>Edinburgh</t>
  </si>
  <si>
    <t>EH68ER</t>
  </si>
  <si>
    <t>+44(0)7874693650</t>
  </si>
  <si>
    <t>Primary Supplier</t>
  </si>
  <si>
    <t>Secondary Supplier</t>
  </si>
  <si>
    <t>Alternative Part Details</t>
  </si>
  <si>
    <t>U2</t>
  </si>
  <si>
    <t>Total Number of Items:</t>
  </si>
  <si>
    <t>TOTAL COST (Primary Supplier Only):</t>
  </si>
  <si>
    <t>TOTAL COST (Secondary Supplier Only):</t>
  </si>
  <si>
    <t>Note: All prices in GBP</t>
  </si>
  <si>
    <t>Notes</t>
  </si>
  <si>
    <t>Bill of Materials for Project [2024001 A Soutra Plainsong Metronome.PrjPcb] (No PCB Document Selected)</t>
  </si>
  <si>
    <t>2024001 A Soutra Plainsong Metronome.PrjPcb</t>
  </si>
  <si>
    <t>None</t>
  </si>
  <si>
    <t>22/10/2024</t>
  </si>
  <si>
    <t>09:38</t>
  </si>
  <si>
    <t>Designator</t>
  </si>
  <si>
    <t>C1, C2, C5</t>
  </si>
  <si>
    <t>C3, C4, C9, C13, C42, C43</t>
  </si>
  <si>
    <t>C6</t>
  </si>
  <si>
    <t>C7, C8, C18, C22, C23, C24, C26, C27, C28, C29, C37, C38, C41</t>
  </si>
  <si>
    <t>C10, C11, C12, C14, C15, C16, C17, C19, C25, C44</t>
  </si>
  <si>
    <t>C20, C21</t>
  </si>
  <si>
    <t>C30</t>
  </si>
  <si>
    <t>C31, C32, C39, C40</t>
  </si>
  <si>
    <t>C33, C34, C35, C36</t>
  </si>
  <si>
    <t>D1</t>
  </si>
  <si>
    <t>D4, D5, D6, D7, D10</t>
  </si>
  <si>
    <t>F1</t>
  </si>
  <si>
    <t>J1</t>
  </si>
  <si>
    <t>J2, J3</t>
  </si>
  <si>
    <t>J4</t>
  </si>
  <si>
    <t>J5</t>
  </si>
  <si>
    <t>J6</t>
  </si>
  <si>
    <t>R1, R14, R15, R16, R17, R18, R19, R20, R21, R22, R23, R24, R25, R26, R27, R28, R29</t>
  </si>
  <si>
    <t>R2, R3</t>
  </si>
  <si>
    <t>R4, R5, R6, R8, R9, R31, R32, R33, R34, R35, R36, R37, R42, R43, R44</t>
  </si>
  <si>
    <t>R7</t>
  </si>
  <si>
    <t>R10, R11, R12, R13</t>
  </si>
  <si>
    <t>R30</t>
  </si>
  <si>
    <t>R38, R39, R40, R41, R45</t>
  </si>
  <si>
    <t>R46</t>
  </si>
  <si>
    <t>SW1</t>
  </si>
  <si>
    <t>SW2, SW7</t>
  </si>
  <si>
    <t>SW3, SW4, SW5, SW6</t>
  </si>
  <si>
    <t>U1</t>
  </si>
  <si>
    <t>U3</t>
  </si>
  <si>
    <t>U4, U5, U8, U9</t>
  </si>
  <si>
    <t>U6, U7</t>
  </si>
  <si>
    <t>U10</t>
  </si>
  <si>
    <t>VREG1</t>
  </si>
  <si>
    <t>VREG2</t>
  </si>
  <si>
    <t>VREG3</t>
  </si>
  <si>
    <t>X1</t>
  </si>
  <si>
    <t>X2</t>
  </si>
  <si>
    <t>Manufacturer Part Number</t>
  </si>
  <si>
    <t>1206B106K250CP</t>
  </si>
  <si>
    <t>CL31B475KAHNNNE</t>
  </si>
  <si>
    <t>GRM21BR61A226ME51L</t>
  </si>
  <si>
    <t>CC0402KRX5R6BB105</t>
  </si>
  <si>
    <t>0402X104M160CT</t>
  </si>
  <si>
    <t>CC0402CRNPO9BN5R0</t>
  </si>
  <si>
    <t>CC0402MRX5R5BB225</t>
  </si>
  <si>
    <t>CC0402KPX7R9BB221</t>
  </si>
  <si>
    <t>TAJR225K016RNJ</t>
  </si>
  <si>
    <t>SMAJ13CAHM3_A/H</t>
  </si>
  <si>
    <t>MP008282</t>
  </si>
  <si>
    <t>MP001600</t>
  </si>
  <si>
    <t>22-05-7028</t>
  </si>
  <si>
    <t>105017-0001</t>
  </si>
  <si>
    <t>3-1734592-1</t>
  </si>
  <si>
    <t>MC0063W06030R</t>
  </si>
  <si>
    <t>RK73B1JTTD103J</t>
  </si>
  <si>
    <t>RC0805JR-0710KL</t>
  </si>
  <si>
    <t>CRGH0805F2K7</t>
  </si>
  <si>
    <t>MCMR06X512JTL</t>
  </si>
  <si>
    <t>RC0402FR-07590KL</t>
  </si>
  <si>
    <t>CRCW0805100RFKTA</t>
  </si>
  <si>
    <t>ERJ-PA3F91R0V</t>
  </si>
  <si>
    <t>PEC12R-4220F-S0024</t>
  </si>
  <si>
    <t>MX1A-11NW</t>
  </si>
  <si>
    <t>STM32F401CBU7</t>
  </si>
  <si>
    <t>AT45DB641E-MHN-Y</t>
  </si>
  <si>
    <t>MAX9867ETJ+T</t>
  </si>
  <si>
    <t>MCP4542T-103E/MF</t>
  </si>
  <si>
    <t>MAX9716ETA+T</t>
  </si>
  <si>
    <t>TPD2EUSB30ADRTR</t>
  </si>
  <si>
    <t>TLE4284DV50ATMA1</t>
  </si>
  <si>
    <t>AZ1117CH-3.3TRG1</t>
  </si>
  <si>
    <t>AP7370-18FDC-7</t>
  </si>
  <si>
    <t>MCSJK-7E-24.00-8-10-60-B-10</t>
  </si>
  <si>
    <t>MCSJK-3N-12.288-3.3-50-C</t>
  </si>
  <si>
    <t>Value</t>
  </si>
  <si>
    <t>10uF</t>
  </si>
  <si>
    <t>4.7uF</t>
  </si>
  <si>
    <t>22uF</t>
  </si>
  <si>
    <t>1uF</t>
  </si>
  <si>
    <t>100nF</t>
  </si>
  <si>
    <t>5pF</t>
  </si>
  <si>
    <t>2.2uF</t>
  </si>
  <si>
    <t>220pF</t>
  </si>
  <si>
    <t>0R</t>
  </si>
  <si>
    <t>10kR</t>
  </si>
  <si>
    <t>2.7k</t>
  </si>
  <si>
    <t>5.1kR</t>
  </si>
  <si>
    <t>590kR</t>
  </si>
  <si>
    <t>100R</t>
  </si>
  <si>
    <t>24MHz</t>
  </si>
  <si>
    <t>Manufacturer</t>
  </si>
  <si>
    <t>Walsin Technologies</t>
  </si>
  <si>
    <t>Samsung</t>
  </si>
  <si>
    <t>Murata</t>
  </si>
  <si>
    <t>Yageo</t>
  </si>
  <si>
    <t>AVX Interconnect / Elco</t>
  </si>
  <si>
    <t>Vishay</t>
  </si>
  <si>
    <t>Multicomp</t>
  </si>
  <si>
    <t>Wurth Electronics</t>
  </si>
  <si>
    <t>Molex</t>
  </si>
  <si>
    <t>TE Connectivity</t>
  </si>
  <si>
    <t>KOA Speer</t>
  </si>
  <si>
    <t>Vishay Dale</t>
  </si>
  <si>
    <t>Panasonic</t>
  </si>
  <si>
    <t>Bourns</t>
  </si>
  <si>
    <t>Cherry</t>
  </si>
  <si>
    <t>STMicroelectronics</t>
  </si>
  <si>
    <t>Adesto Technologies</t>
  </si>
  <si>
    <t>Maxim</t>
  </si>
  <si>
    <t>Microchip</t>
  </si>
  <si>
    <t>Texas Instruments</t>
  </si>
  <si>
    <t>Infineon</t>
  </si>
  <si>
    <t>Diodes</t>
  </si>
  <si>
    <t>Footprint</t>
  </si>
  <si>
    <t>CC1206-IPC_A</t>
  </si>
  <si>
    <t>CAPC2012X14L</t>
  </si>
  <si>
    <t>CAPC1005X06L</t>
  </si>
  <si>
    <t>CAPC2113X120X50ML20T30</t>
  </si>
  <si>
    <t>SODFL511X229-2N</t>
  </si>
  <si>
    <t>DIOC_0603_1706X06L</t>
  </si>
  <si>
    <t>FUSE_3216X08L</t>
  </si>
  <si>
    <t>WURTH_694106301002</t>
  </si>
  <si>
    <t>J_MOLEX_22-05-7028</t>
  </si>
  <si>
    <t>1050170001_USB-MICRO-B_V</t>
  </si>
  <si>
    <t>J_GENERIC_PIN-HEADER_2.54_1X3</t>
  </si>
  <si>
    <t>AMP-TE_3-1734592-1</t>
  </si>
  <si>
    <t>RESC_0603_1608X06L</t>
  </si>
  <si>
    <t>RESC_0805_2013X50X30LL20T20</t>
  </si>
  <si>
    <t>RESC_0402_1005X40X25LL05T10</t>
  </si>
  <si>
    <t>SW_PTH-Wire-to-Board-D1.2</t>
  </si>
  <si>
    <t>BOURNS_PEC12R-4220F-S0024</t>
  </si>
  <si>
    <t>CHERRY_MX1A-11NW</t>
  </si>
  <si>
    <t>TP_CIRCLE_R1</t>
  </si>
  <si>
    <t>UFQFPN50P700X700X60_HS-49L</t>
  </si>
  <si>
    <t>QFN127P600X500X60_HS-9L</t>
  </si>
  <si>
    <t>TQFN50P500X500X80_HS-33L</t>
  </si>
  <si>
    <t>DFN-MF8</t>
  </si>
  <si>
    <t>TDFN300X300X80_HS-9L</t>
  </si>
  <si>
    <t>DRT0003A</t>
  </si>
  <si>
    <t>TO252-3-11_L</t>
  </si>
  <si>
    <t>SOT230P700X180-4L</t>
  </si>
  <si>
    <t>U-DFN2020EP65P201X201X63_HS-7L</t>
  </si>
  <si>
    <t>OSCSC1-85x1-55P2-55X2-05Y0-05_4MFR</t>
  </si>
  <si>
    <t>X_MULTICOMP_MCSJK-3N-12.288-3.3-50-C</t>
  </si>
  <si>
    <t>Quantity</t>
  </si>
  <si>
    <t>Supplier</t>
  </si>
  <si>
    <t>Digikey</t>
  </si>
  <si>
    <t>Farnell</t>
  </si>
  <si>
    <t>Mech Boards</t>
  </si>
  <si>
    <t>Supplier Part Number</t>
  </si>
  <si>
    <t>1276-1055-1-ND</t>
  </si>
  <si>
    <t>ACHERSW0315325</t>
  </si>
  <si>
    <t>Pricing</t>
  </si>
  <si>
    <t>1=0.18, 10=0.116, 50=0.0732, 100=0.0585, 500=0.04228, 1000=0.0374 (USD)</t>
  </si>
  <si>
    <t>10=0.039, 100=0.023</t>
  </si>
  <si>
    <t>10=0.0047, 100=0.0043</t>
  </si>
  <si>
    <t>5=0.0713, 10=0.0611, 100=0.0476</t>
  </si>
  <si>
    <t>5=0.094, 50=0.0739, 250=0.0627, 500=0.0559, 1500=0.0459 (GBP)</t>
  </si>
  <si>
    <t>1=1.14, 10=0.84, 100=0.78</t>
  </si>
  <si>
    <t>1=0.97</t>
  </si>
  <si>
    <t>10=0.007, 100=0.006</t>
  </si>
  <si>
    <t>10=0.009, 100=0.003</t>
  </si>
  <si>
    <t>10=0.013, 100=0.007, 500=0.006</t>
  </si>
  <si>
    <t>10=0.0381</t>
  </si>
  <si>
    <t>10=0.06, 100=0.026</t>
  </si>
  <si>
    <t>10=0.05, 100=0.03</t>
  </si>
  <si>
    <t>1=1.7, 5=1.49, 10=1.26, 20=1.16, 40=1.06, 75=0.97</t>
  </si>
  <si>
    <t>10=5</t>
  </si>
  <si>
    <t>1=3.42</t>
  </si>
  <si>
    <t>1=5.02, 10=4.15, 25=3.97, 50=3.80, 100=3.62</t>
  </si>
  <si>
    <t>1=2.92, 10=2.45, 25=2.3, 100=2.15</t>
  </si>
  <si>
    <t>1=1.41, 10=1.26, 25=1.19, 100=0.982</t>
  </si>
  <si>
    <t>5=0.42, 10=0.25, 100=0.12</t>
  </si>
  <si>
    <t>5=0.53, 10=0.42, 100=0.23</t>
  </si>
  <si>
    <t>Supplier 1</t>
  </si>
  <si>
    <t>Rs</t>
  </si>
  <si>
    <t>Mouser</t>
  </si>
  <si>
    <t>Supplier Part Number 1</t>
  </si>
  <si>
    <t>311-1439-1-ND</t>
  </si>
  <si>
    <t>1292-0402X104M160CT-ND</t>
  </si>
  <si>
    <t>732-5930-ND</t>
  </si>
  <si>
    <t>2019-RK73B1JTTD103JCT-ND</t>
  </si>
  <si>
    <t>311-10KARCT-ND</t>
  </si>
  <si>
    <t>279-CRGH0805F2K7</t>
  </si>
  <si>
    <t>71-CRCW0805-100</t>
  </si>
  <si>
    <t>PEC12R-4220F-S0024-ND</t>
  </si>
  <si>
    <t>1265-1227-ND</t>
  </si>
  <si>
    <t>MAX9867ETJ+TCT-ND</t>
  </si>
  <si>
    <t>MAX9716ETA+TCT-ND</t>
  </si>
  <si>
    <t>AZ1117CH-3.3TRG1DICT-ND</t>
  </si>
  <si>
    <t>621-AP7370-18FDC-7</t>
  </si>
  <si>
    <t>Pricing 1</t>
  </si>
  <si>
    <t>5=0.114, 50=0.11, 250=0.098, 500=0.096, 1000=0.094 (GBP)</t>
  </si>
  <si>
    <t>5=0.08, 50=0.05</t>
  </si>
  <si>
    <t>5=0.192, 50=0.09</t>
  </si>
  <si>
    <t>1=0.08, 10=0.058, 50=0.034, 100=0.027</t>
  </si>
  <si>
    <t>1=0.08, 10=0.023, 50=0.013, 100=0.01</t>
  </si>
  <si>
    <t>10=0.014, 100=0.008</t>
  </si>
  <si>
    <t>10=0.0794, 100=0.0451</t>
  </si>
  <si>
    <t>5=0.3684, 50=0.2592</t>
  </si>
  <si>
    <t>5=0.168, 10=0.146, 100+0.122</t>
  </si>
  <si>
    <t>1=0.81, 10=0.77, 50=0.68, 100=0.63</t>
  </si>
  <si>
    <t>1=0.78, 10=0.64, 50=0.57, 100=0.50</t>
  </si>
  <si>
    <t>5=0.754, 75=0.67</t>
  </si>
  <si>
    <t>1=1.44, 10=1.26, 100=1.15</t>
  </si>
  <si>
    <t>1=0.08, 10=0.012, 50=0.0078, 100=0.0064</t>
  </si>
  <si>
    <t>1=0.08, 10=0.018, 50=0.011, 100=0.009</t>
  </si>
  <si>
    <t>1=0.096, 10=0.065, 100=0.033</t>
  </si>
  <si>
    <t>10=0.0096, 100=0.0055</t>
  </si>
  <si>
    <t>1=0.12, 10=0.042, 100=0.027</t>
  </si>
  <si>
    <t>1=1.28, 5=1.21, 10=1.14, 25=1.04, 75=0.97</t>
  </si>
  <si>
    <t>1=4.88, 10=4.38, 25=4.14, 80=3.59</t>
  </si>
  <si>
    <t>1=4.65, 10=4.24, 25=4.16, 40=4.13, 80=3.70</t>
  </si>
  <si>
    <t>1=2.95, 10=2.65, 25=2.5, 100=2.17</t>
  </si>
  <si>
    <t>1=0.998, 25=0.84, 100=0.78</t>
  </si>
  <si>
    <t>1=1.28, 10=1.15, 25=1.08, 100=0.92</t>
  </si>
  <si>
    <t>5=0.53, 10=0.4, 100=0.22</t>
  </si>
  <si>
    <t>5=1.49, 50=1.38, 100=1.27</t>
  </si>
  <si>
    <t>1=0.36, 10=0.27, 25=0.23, 100=0.15</t>
  </si>
  <si>
    <t>1=0.38, 10=0.271, 100=0.19</t>
  </si>
  <si>
    <t>5=0.232, 50=0.188, 250=0.165, 500=0.15, 1500=0.133, 3000=0.129, 15000=0.125, 30000=0.123 (GBP)</t>
  </si>
  <si>
    <t>5=0.644, 50=0.522, 250=0.455, 500=0.442, 1500=0.436, 3000=0.43, 15000=0.421, 30000=0.413 (GBP)</t>
  </si>
  <si>
    <t>Alternative Part</t>
  </si>
  <si>
    <t>C2012X5R1A226M125AB</t>
  </si>
  <si>
    <t>0402ZD105KAT2A</t>
  </si>
  <si>
    <t>GJM1555C1H5R0CB01D</t>
  </si>
  <si>
    <t>MC0402X225M6R3CT</t>
  </si>
  <si>
    <t>MC0402B221K500CT</t>
  </si>
  <si>
    <t>LG Q396-PS-35</t>
  </si>
  <si>
    <t>MCWR06X000 PTL</t>
  </si>
  <si>
    <t>RMCF0603FT10K0</t>
  </si>
  <si>
    <t>MCMR08X103 JTL</t>
  </si>
  <si>
    <t>MC01W08051100R</t>
  </si>
  <si>
    <t>MCMR06X5101FTL</t>
  </si>
  <si>
    <t>CRCW0402590KFKED</t>
  </si>
  <si>
    <t>CRCW0805100RFKEA</t>
  </si>
  <si>
    <t>Alternative Part Manufacturer</t>
  </si>
  <si>
    <t>TDK</t>
  </si>
  <si>
    <t>KYOCERA AVX</t>
  </si>
  <si>
    <t>WURTH</t>
  </si>
  <si>
    <t>AMS OSRAM GROUP</t>
  </si>
  <si>
    <t>Multicomp Pro</t>
  </si>
  <si>
    <t>Stackpole Electronics Inc</t>
  </si>
  <si>
    <t>VISHAY</t>
  </si>
  <si>
    <t>Alternative Part Supplier</t>
  </si>
  <si>
    <t>Alternative Part Supplier Part Number</t>
  </si>
  <si>
    <t>RMCF0603FT10K0CT-ND</t>
  </si>
  <si>
    <t>TP1, TP2, TP3, TP4, TP5, TP6, TP7, TP8, TP9, TP10, TP11, TP12, TP13, TP14, TP15, TP16, 
TP17, TP18, TP19, TP20, TP21, TP22, TP23, TP24, TP25, TP26, TP27, TP28, TP29, TP30, 
TP31, TP32</t>
  </si>
  <si>
    <t>10=0.0069, 500=0.0055, 2500=0.0042, 10000=0.003, 25000=0.0029, 
50000=0.0028, 250000=0.0027, 500000=0.0026 (GBP)</t>
  </si>
  <si>
    <t>10=0.0065, 100=0.0056, 500=0.0047, 1000=0.004, 2500=0.0027, 
5000=0.0021, 25000=0.0016, 50000=0.0013 (GBP)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</si>
</sst>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9]dd\-mmm\-yy;@"/>
    <numFmt numFmtId="165" formatCode="[$-409]h:mm\ AM/PM;@"/>
  </numFmts>
  <fonts count="12" x14ac:knownFonts="1">
    <font>
      <sz val="10"/>
      <name val="Arial"/>
    </font>
    <font>
      <sz val="10"/>
      <color indexed="13"/>
      <name val="Arial"/>
      <family val="2"/>
    </font>
    <font>
      <sz val="10"/>
      <color indexed="47"/>
      <name val="Arial"/>
      <family val="2"/>
    </font>
    <font>
      <b/>
      <sz val="24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8"/>
      <color indexed="8"/>
      <name val="Arial"/>
      <family val="2"/>
    </font>
    <font>
      <u/>
      <sz val="10"/>
      <color theme="10"/>
      <name val="Arial"/>
      <family val="2"/>
    </font>
    <font>
      <i/>
      <sz val="18"/>
      <color theme="8" tint="0.59999389629810485"/>
      <name val="Arial"/>
      <family val="2"/>
    </font>
    <font>
      <i/>
      <sz val="18"/>
      <color theme="7" tint="0.39997558519241921"/>
      <name val="Arial"/>
      <family val="2"/>
    </font>
    <font>
      <i/>
      <sz val="18"/>
      <color theme="5" tint="0.39997558519241921"/>
      <name val="Arial"/>
      <family val="2"/>
    </font>
    <font>
      <i/>
      <sz val="10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ck">
        <color theme="5" tint="0.39994506668294322"/>
      </top>
      <bottom style="thin">
        <color indexed="64"/>
      </bottom>
      <diagonal/>
    </border>
    <border>
      <left/>
      <right/>
      <top style="thick">
        <color theme="8" tint="0.59996337778862885"/>
      </top>
      <bottom style="thin">
        <color indexed="64"/>
      </bottom>
      <diagonal/>
    </border>
    <border>
      <left/>
      <right/>
      <top style="thick">
        <color theme="7" tint="0.39994506668294322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thick">
        <color theme="7" tint="0.39994506668294322"/>
      </bottom>
      <diagonal/>
    </border>
    <border>
      <left/>
      <right/>
      <top/>
      <bottom style="thick">
        <color theme="5" tint="0.39994506668294322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ck">
        <color theme="8" tint="0.59996337778862885"/>
      </bottom>
      <diagonal/>
    </border>
    <border>
      <left/>
      <right/>
      <top style="thin">
        <color rgb="FF000000"/>
      </top>
      <bottom style="thick">
        <color theme="8" tint="0.59996337778862885"/>
      </bottom>
      <diagonal/>
    </border>
    <border>
      <left/>
      <right style="thin">
        <color indexed="64"/>
      </right>
      <top style="thin">
        <color rgb="FF000000"/>
      </top>
      <bottom style="thick">
        <color theme="8" tint="0.59996337778862885"/>
      </bottom>
      <diagonal/>
    </border>
    <border>
      <left style="thin">
        <color indexed="64"/>
      </left>
      <right/>
      <top style="thick">
        <color theme="8" tint="0.59996337778862885"/>
      </top>
      <bottom style="thin">
        <color indexed="64"/>
      </bottom>
      <diagonal/>
    </border>
    <border>
      <left/>
      <right style="thin">
        <color indexed="64"/>
      </right>
      <top style="thick">
        <color theme="8" tint="0.59996337778862885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ck">
        <color theme="5" tint="0.39994506668294322"/>
      </top>
      <bottom style="thin">
        <color indexed="64"/>
      </bottom>
      <diagonal/>
    </border>
    <border>
      <left/>
      <right style="thin">
        <color indexed="64"/>
      </right>
      <top style="thick">
        <color theme="5" tint="0.39994506668294322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80"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2" fillId="2" borderId="2" xfId="0" applyFont="1" applyFill="1" applyBorder="1"/>
    <xf numFmtId="0" fontId="5" fillId="3" borderId="0" xfId="0" applyFont="1" applyFill="1" applyAlignment="1">
      <alignment horizontal="left"/>
    </xf>
    <xf numFmtId="0" fontId="5" fillId="0" borderId="7" xfId="0" applyFont="1" applyBorder="1"/>
    <xf numFmtId="0" fontId="5" fillId="0" borderId="8" xfId="0" applyFont="1" applyBorder="1"/>
    <xf numFmtId="0" fontId="5" fillId="0" borderId="8" xfId="0" applyFont="1" applyBorder="1" applyAlignment="1">
      <alignment wrapText="1"/>
    </xf>
    <xf numFmtId="0" fontId="3" fillId="3" borderId="8" xfId="0" applyFont="1" applyFill="1" applyBorder="1" applyAlignment="1">
      <alignment vertical="center"/>
    </xf>
    <xf numFmtId="0" fontId="6" fillId="4" borderId="5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3" fillId="3" borderId="8" xfId="0" quotePrefix="1" applyFont="1" applyFill="1" applyBorder="1" applyAlignment="1">
      <alignment vertical="center"/>
    </xf>
    <xf numFmtId="0" fontId="6" fillId="6" borderId="5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vertical="center"/>
    </xf>
    <xf numFmtId="0" fontId="5" fillId="3" borderId="15" xfId="0" applyFont="1" applyFill="1" applyBorder="1" applyAlignment="1">
      <alignment horizontal="left"/>
    </xf>
    <xf numFmtId="0" fontId="5" fillId="3" borderId="16" xfId="0" applyFont="1" applyFill="1" applyBorder="1" applyAlignment="1">
      <alignment horizontal="left"/>
    </xf>
    <xf numFmtId="0" fontId="6" fillId="2" borderId="18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left"/>
    </xf>
    <xf numFmtId="0" fontId="3" fillId="3" borderId="17" xfId="0" applyFont="1" applyFill="1" applyBorder="1" applyAlignment="1">
      <alignment vertical="center"/>
    </xf>
    <xf numFmtId="0" fontId="3" fillId="3" borderId="17" xfId="0" applyFont="1" applyFill="1" applyBorder="1" applyAlignment="1">
      <alignment horizontal="left" vertical="center"/>
    </xf>
    <xf numFmtId="0" fontId="4" fillId="3" borderId="14" xfId="0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0" fontId="4" fillId="3" borderId="0" xfId="0" quotePrefix="1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5" fillId="3" borderId="0" xfId="0" applyFont="1" applyFill="1" applyAlignment="1">
      <alignment vertical="center"/>
    </xf>
    <xf numFmtId="165" fontId="5" fillId="3" borderId="0" xfId="0" quotePrefix="1" applyNumberFormat="1" applyFont="1" applyFill="1" applyAlignment="1">
      <alignment horizontal="left" vertical="center"/>
    </xf>
    <xf numFmtId="0" fontId="7" fillId="3" borderId="0" xfId="1" applyFill="1" applyBorder="1" applyAlignment="1">
      <alignment vertical="center"/>
    </xf>
    <xf numFmtId="0" fontId="4" fillId="3" borderId="21" xfId="0" applyFont="1" applyFill="1" applyBorder="1" applyAlignment="1">
      <alignment horizontal="left" vertical="center"/>
    </xf>
    <xf numFmtId="0" fontId="6" fillId="5" borderId="6" xfId="0" quotePrefix="1" applyFont="1" applyFill="1" applyBorder="1" applyAlignment="1">
      <alignment horizontal="center" vertical="center"/>
    </xf>
    <xf numFmtId="0" fontId="6" fillId="5" borderId="5" xfId="0" quotePrefix="1" applyFont="1" applyFill="1" applyBorder="1" applyAlignment="1">
      <alignment horizontal="center" vertical="center"/>
    </xf>
    <xf numFmtId="0" fontId="6" fillId="5" borderId="4" xfId="0" quotePrefix="1" applyFont="1" applyFill="1" applyBorder="1" applyAlignment="1">
      <alignment horizontal="center" vertical="center"/>
    </xf>
    <xf numFmtId="0" fontId="6" fillId="4" borderId="5" xfId="0" quotePrefix="1" applyFont="1" applyFill="1" applyBorder="1" applyAlignment="1">
      <alignment horizontal="center" vertical="center"/>
    </xf>
    <xf numFmtId="0" fontId="6" fillId="6" borderId="5" xfId="0" quotePrefix="1" applyFont="1" applyFill="1" applyBorder="1" applyAlignment="1">
      <alignment horizontal="center" vertical="center"/>
    </xf>
    <xf numFmtId="0" fontId="6" fillId="2" borderId="20" xfId="0" quotePrefix="1" applyFont="1" applyFill="1" applyBorder="1" applyAlignment="1">
      <alignment vertical="center"/>
    </xf>
    <xf numFmtId="49" fontId="4" fillId="3" borderId="0" xfId="0" applyNumberFormat="1" applyFont="1" applyFill="1" applyAlignment="1">
      <alignment vertical="center"/>
    </xf>
    <xf numFmtId="0" fontId="4" fillId="3" borderId="0" xfId="0" applyFont="1" applyFill="1" applyAlignment="1">
      <alignment horizontal="left" vertical="center"/>
    </xf>
    <xf numFmtId="0" fontId="6" fillId="2" borderId="33" xfId="0" quotePrefix="1" applyFont="1" applyFill="1" applyBorder="1" applyAlignment="1">
      <alignment vertical="center"/>
    </xf>
    <xf numFmtId="0" fontId="6" fillId="7" borderId="1" xfId="0" quotePrefix="1" applyFont="1" applyFill="1" applyBorder="1" applyAlignment="1">
      <alignment vertical="center"/>
    </xf>
    <xf numFmtId="0" fontId="6" fillId="7" borderId="28" xfId="0" quotePrefix="1" applyFont="1" applyFill="1" applyBorder="1" applyAlignment="1">
      <alignment vertical="center"/>
    </xf>
    <xf numFmtId="0" fontId="6" fillId="7" borderId="34" xfId="0" applyFont="1" applyFill="1" applyBorder="1" applyAlignment="1">
      <alignment vertical="center"/>
    </xf>
    <xf numFmtId="0" fontId="6" fillId="7" borderId="18" xfId="0" applyFont="1" applyFill="1" applyBorder="1" applyAlignment="1">
      <alignment vertical="center"/>
    </xf>
    <xf numFmtId="0" fontId="6" fillId="7" borderId="9" xfId="0" quotePrefix="1" applyFont="1" applyFill="1" applyBorder="1" applyAlignment="1">
      <alignment vertical="center"/>
    </xf>
    <xf numFmtId="0" fontId="6" fillId="7" borderId="35" xfId="0" applyFont="1" applyFill="1" applyBorder="1" applyAlignment="1">
      <alignment vertical="center"/>
    </xf>
    <xf numFmtId="0" fontId="4" fillId="0" borderId="8" xfId="0" applyFont="1" applyBorder="1"/>
    <xf numFmtId="0" fontId="4" fillId="0" borderId="8" xfId="0" quotePrefix="1" applyFont="1" applyBorder="1" applyAlignment="1">
      <alignment wrapText="1"/>
    </xf>
    <xf numFmtId="0" fontId="4" fillId="0" borderId="8" xfId="0" applyFont="1" applyBorder="1" applyAlignment="1">
      <alignment wrapText="1"/>
    </xf>
    <xf numFmtId="0" fontId="11" fillId="0" borderId="8" xfId="0" applyFont="1" applyBorder="1"/>
    <xf numFmtId="0" fontId="6" fillId="2" borderId="0" xfId="0" quotePrefix="1" applyFont="1" applyFill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5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left" vertical="center" wrapText="1"/>
    </xf>
    <xf numFmtId="0" fontId="0" fillId="6" borderId="1" xfId="0" applyFill="1" applyBorder="1" applyAlignment="1">
      <alignment horizontal="left" vertical="center"/>
    </xf>
    <xf numFmtId="0" fontId="0" fillId="6" borderId="28" xfId="0" applyFill="1" applyBorder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0" fillId="6" borderId="36" xfId="0" applyFill="1" applyBorder="1" applyAlignment="1">
      <alignment horizontal="left" vertical="center"/>
    </xf>
    <xf numFmtId="0" fontId="0" fillId="6" borderId="3" xfId="0" applyFill="1" applyBorder="1" applyAlignment="1">
      <alignment horizontal="left" vertical="center"/>
    </xf>
    <xf numFmtId="0" fontId="0" fillId="6" borderId="30" xfId="0" applyFill="1" applyBorder="1" applyAlignment="1">
      <alignment horizontal="left" vertical="center"/>
    </xf>
    <xf numFmtId="0" fontId="0" fillId="6" borderId="27" xfId="0" applyFill="1" applyBorder="1" applyAlignment="1">
      <alignment horizontal="left" vertical="center"/>
    </xf>
    <xf numFmtId="0" fontId="0" fillId="6" borderId="37" xfId="0" applyFill="1" applyBorder="1" applyAlignment="1">
      <alignment horizontal="left" vertical="center"/>
    </xf>
    <xf numFmtId="0" fontId="0" fillId="6" borderId="29" xfId="0" applyFill="1" applyBorder="1" applyAlignment="1">
      <alignment horizontal="left" vertical="center"/>
    </xf>
    <xf numFmtId="0" fontId="0" fillId="4" borderId="27" xfId="0" applyFill="1" applyBorder="1" applyAlignment="1">
      <alignment horizontal="left" vertical="center"/>
    </xf>
    <xf numFmtId="0" fontId="0" fillId="4" borderId="37" xfId="0" applyFill="1" applyBorder="1" applyAlignment="1">
      <alignment horizontal="left" vertical="center"/>
    </xf>
    <xf numFmtId="0" fontId="0" fillId="4" borderId="29" xfId="0" applyFill="1" applyBorder="1" applyAlignment="1">
      <alignment horizontal="left" vertical="center"/>
    </xf>
    <xf numFmtId="0" fontId="0" fillId="5" borderId="27" xfId="0" applyFill="1" applyBorder="1" applyAlignment="1">
      <alignment horizontal="left" vertical="center"/>
    </xf>
    <xf numFmtId="0" fontId="0" fillId="5" borderId="37" xfId="0" applyFill="1" applyBorder="1" applyAlignment="1">
      <alignment horizontal="left" vertical="center"/>
    </xf>
    <xf numFmtId="0" fontId="0" fillId="5" borderId="29" xfId="0" applyFill="1" applyBorder="1" applyAlignment="1">
      <alignment horizontal="left" vertical="center"/>
    </xf>
    <xf numFmtId="0" fontId="5" fillId="3" borderId="22" xfId="0" applyFont="1" applyFill="1" applyBorder="1" applyAlignment="1">
      <alignment horizontal="center"/>
    </xf>
    <xf numFmtId="0" fontId="5" fillId="3" borderId="23" xfId="0" applyFont="1" applyFill="1" applyBorder="1" applyAlignment="1">
      <alignment horizontal="center"/>
    </xf>
    <xf numFmtId="0" fontId="5" fillId="3" borderId="24" xfId="0" applyFont="1" applyFill="1" applyBorder="1" applyAlignment="1">
      <alignment horizontal="center"/>
    </xf>
    <xf numFmtId="0" fontId="9" fillId="0" borderId="12" xfId="0" applyFont="1" applyBorder="1" applyAlignment="1">
      <alignment horizontal="center"/>
    </xf>
    <xf numFmtId="164" fontId="8" fillId="3" borderId="25" xfId="0" applyNumberFormat="1" applyFont="1" applyFill="1" applyBorder="1" applyAlignment="1">
      <alignment horizontal="center"/>
    </xf>
    <xf numFmtId="164" fontId="8" fillId="3" borderId="11" xfId="0" applyNumberFormat="1" applyFont="1" applyFill="1" applyBorder="1" applyAlignment="1">
      <alignment horizontal="center"/>
    </xf>
    <xf numFmtId="164" fontId="8" fillId="3" borderId="26" xfId="0" applyNumberFormat="1" applyFont="1" applyFill="1" applyBorder="1" applyAlignment="1">
      <alignment horizontal="center"/>
    </xf>
    <xf numFmtId="0" fontId="10" fillId="0" borderId="31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32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1">
    <dxf>
      <font>
        <condense val="0"/>
        <extend val="0"/>
        <color indexed="10"/>
      </font>
    </dxf>
  </dxfs>
  <tableStyles count="0" defaultTableStyle="TableStyleMedium9" defaultPivotStyle="PivotStyleLight16"/>
  <colors>
    <mruColors>
      <color rgb="FFFFCC66"/>
      <color rgb="FFFFFF66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268942</xdr:colOff>
      <xdr:row>1</xdr:row>
      <xdr:rowOff>168090</xdr:rowOff>
    </xdr:from>
    <xdr:to>
      <xdr:col>1</xdr:col>
      <xdr:colOff>4070436</xdr:colOff>
      <xdr:row>4</xdr:row>
      <xdr:rowOff>78441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FA48D0-0B24-499B-DE4A-DC1E57539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266" y="336178"/>
          <a:ext cx="3801494" cy="60511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outraelectronic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5"/>
  <sheetViews>
    <sheetView tabSelected="1" topLeftCell="G1" zoomScale="70" zoomScaleNormal="70" workbookViewId="0">
      <selection activeCell="R45" sqref="R45"/>
    </sheetView>
  </sheetViews>
  <sheetFormatPr defaultRowHeight="12.75" x14ac:dyDescent="0.2"/>
  <cols>
    <col min="1" max="1" width="3.5703125" customWidth="1"/>
    <col min="2" max="2" width="80.7109375" bestFit="1" customWidth="1"/>
    <col min="3" max="3" width="27" bestFit="1" customWidth="1"/>
    <col min="4" max="4" width="21.5703125" customWidth="1"/>
    <col min="5" max="5" width="22" bestFit="1" customWidth="1"/>
    <col min="6" max="6" width="39.85546875" customWidth="1"/>
    <col min="7" max="7" width="8.5703125" bestFit="1" customWidth="1"/>
    <col min="8" max="8" width="7.28515625" customWidth="1"/>
    <col min="9" max="9" width="17.5703125" bestFit="1" customWidth="1"/>
    <col min="10" max="10" width="20" bestFit="1" customWidth="1"/>
    <col min="11" max="11" width="67.5703125" bestFit="1" customWidth="1"/>
    <col min="12" max="12" width="16.85546875" bestFit="1" customWidth="1"/>
    <col min="13" max="13" width="27.85546875" bestFit="1" customWidth="1"/>
    <col min="14" max="14" width="89.140625" bestFit="1" customWidth="1"/>
    <col min="15" max="15" width="23.140625" bestFit="1" customWidth="1"/>
    <col min="16" max="16" width="29.140625" bestFit="1" customWidth="1"/>
    <col min="17" max="17" width="24.42578125" bestFit="1" customWidth="1"/>
    <col min="18" max="18" width="35" customWidth="1"/>
  </cols>
  <sheetData>
    <row r="1" spans="1:18" ht="13.5" thickBo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30" x14ac:dyDescent="0.2">
      <c r="A2" s="1"/>
      <c r="B2" s="14"/>
      <c r="C2" s="20"/>
      <c r="D2" s="21" t="s">
        <v>0</v>
      </c>
      <c r="E2" s="21"/>
      <c r="F2" s="11" t="s">
        <v>18</v>
      </c>
      <c r="G2" s="11"/>
      <c r="H2" s="11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 x14ac:dyDescent="0.2">
      <c r="A3" s="1"/>
      <c r="B3" s="22"/>
      <c r="C3" s="23"/>
      <c r="D3" s="23" t="s">
        <v>1</v>
      </c>
      <c r="E3" s="23"/>
      <c r="F3" s="24" t="s">
        <v>19</v>
      </c>
      <c r="G3" s="24"/>
      <c r="H3" s="24"/>
      <c r="I3" s="25"/>
      <c r="J3" s="25"/>
      <c r="K3" s="4"/>
      <c r="L3" s="4"/>
      <c r="M3" s="4"/>
      <c r="N3" s="4"/>
      <c r="O3" s="4"/>
      <c r="P3" s="4"/>
      <c r="Q3" s="4"/>
      <c r="R3" s="4"/>
    </row>
    <row r="4" spans="1:18" x14ac:dyDescent="0.2">
      <c r="A4" s="1"/>
      <c r="B4" s="22"/>
      <c r="C4" s="23"/>
      <c r="D4" s="23" t="s">
        <v>2</v>
      </c>
      <c r="E4" s="23"/>
      <c r="F4" s="24" t="s">
        <v>20</v>
      </c>
      <c r="G4" s="24"/>
      <c r="H4" s="24"/>
      <c r="I4" s="25"/>
      <c r="J4" s="25"/>
      <c r="K4" s="4"/>
      <c r="L4" s="4"/>
      <c r="M4" s="4"/>
      <c r="N4" s="4"/>
      <c r="O4" s="4"/>
      <c r="P4" s="4"/>
      <c r="Q4" s="4"/>
      <c r="R4" s="4"/>
    </row>
    <row r="5" spans="1:18" x14ac:dyDescent="0.2">
      <c r="A5" s="1"/>
      <c r="B5" s="22"/>
      <c r="C5" s="23"/>
      <c r="D5" s="26" t="s">
        <v>3</v>
      </c>
      <c r="E5" s="26"/>
      <c r="F5" s="27" t="s">
        <v>21</v>
      </c>
      <c r="G5" s="27" t="s">
        <v>22</v>
      </c>
      <c r="H5" s="27"/>
      <c r="I5" s="25"/>
      <c r="J5" s="25"/>
      <c r="K5" s="4"/>
      <c r="L5" s="4"/>
      <c r="M5" s="4"/>
      <c r="N5" s="4"/>
      <c r="O5" s="4"/>
      <c r="P5" s="4"/>
      <c r="Q5" s="4"/>
      <c r="R5" s="4"/>
    </row>
    <row r="6" spans="1:18" x14ac:dyDescent="0.2">
      <c r="A6" s="1"/>
      <c r="B6" s="22"/>
      <c r="C6" s="28" t="s">
        <v>4</v>
      </c>
      <c r="D6" s="26"/>
      <c r="E6" s="26"/>
      <c r="F6" s="26"/>
      <c r="G6" s="27"/>
      <c r="H6" s="27"/>
      <c r="I6" s="25"/>
      <c r="J6" s="25"/>
      <c r="K6" s="4"/>
      <c r="L6" s="4"/>
      <c r="M6" s="4"/>
      <c r="N6" s="4"/>
      <c r="O6" s="4"/>
      <c r="P6" s="4"/>
      <c r="Q6" s="4"/>
      <c r="R6" s="4"/>
    </row>
    <row r="7" spans="1:18" x14ac:dyDescent="0.2">
      <c r="A7" s="1"/>
      <c r="B7" s="22"/>
      <c r="C7" s="23" t="s">
        <v>5</v>
      </c>
      <c r="D7" s="26"/>
      <c r="E7" s="26"/>
      <c r="F7" s="26"/>
      <c r="G7" s="27"/>
      <c r="H7" s="27"/>
      <c r="I7" s="25"/>
      <c r="J7" s="25"/>
      <c r="K7" s="4"/>
      <c r="L7" s="4"/>
      <c r="M7" s="4"/>
      <c r="N7" s="4"/>
      <c r="O7" s="4"/>
      <c r="P7" s="4"/>
      <c r="Q7" s="4"/>
      <c r="R7" s="4"/>
    </row>
    <row r="8" spans="1:18" x14ac:dyDescent="0.2">
      <c r="A8" s="1"/>
      <c r="B8" s="22"/>
      <c r="C8" s="23" t="s">
        <v>6</v>
      </c>
      <c r="D8" s="26"/>
      <c r="E8" s="26"/>
      <c r="F8" s="26"/>
      <c r="G8" s="27"/>
      <c r="H8" s="27"/>
      <c r="I8" s="25"/>
      <c r="J8" s="25"/>
      <c r="K8" s="4"/>
      <c r="L8" s="4"/>
      <c r="M8" s="4"/>
      <c r="N8" s="4"/>
      <c r="O8" s="4"/>
      <c r="P8" s="4"/>
      <c r="Q8" s="4"/>
      <c r="R8" s="4"/>
    </row>
    <row r="9" spans="1:18" x14ac:dyDescent="0.2">
      <c r="A9" s="1"/>
      <c r="B9" s="22"/>
      <c r="C9" s="23" t="s">
        <v>7</v>
      </c>
      <c r="D9" s="26"/>
      <c r="E9" s="26"/>
      <c r="F9" s="26"/>
      <c r="G9" s="27"/>
      <c r="H9" s="27"/>
      <c r="I9" s="25"/>
      <c r="J9" s="25"/>
      <c r="K9" s="4"/>
      <c r="L9" s="4"/>
      <c r="M9" s="4"/>
      <c r="N9" s="4"/>
      <c r="O9" s="4"/>
      <c r="P9" s="4"/>
      <c r="Q9" s="4"/>
      <c r="R9" s="4"/>
    </row>
    <row r="10" spans="1:18" x14ac:dyDescent="0.2">
      <c r="A10" s="1"/>
      <c r="B10" s="22"/>
      <c r="C10" s="36" t="s">
        <v>8</v>
      </c>
      <c r="D10" s="26"/>
      <c r="E10" s="26"/>
      <c r="F10" s="26"/>
      <c r="G10" s="37"/>
      <c r="H10" s="37"/>
      <c r="I10" s="29"/>
      <c r="J10" s="29"/>
      <c r="K10" s="19"/>
      <c r="L10" s="19"/>
      <c r="M10" s="19"/>
      <c r="N10" s="19"/>
      <c r="O10" s="19"/>
      <c r="P10" s="19"/>
      <c r="Q10" s="19"/>
      <c r="R10" s="19"/>
    </row>
    <row r="11" spans="1:18" ht="13.5" thickBot="1" x14ac:dyDescent="0.25">
      <c r="A11" s="1"/>
      <c r="B11" s="43"/>
      <c r="C11" s="39"/>
      <c r="D11" s="39"/>
      <c r="E11" s="39"/>
      <c r="F11" s="39"/>
      <c r="G11" s="39"/>
      <c r="H11" s="40"/>
      <c r="I11" s="15"/>
      <c r="J11" s="15"/>
      <c r="K11" s="15"/>
      <c r="L11" s="70"/>
      <c r="M11" s="71"/>
      <c r="N11" s="72"/>
      <c r="O11" s="16"/>
      <c r="P11" s="16"/>
      <c r="Q11" s="16"/>
      <c r="R11" s="16"/>
    </row>
    <row r="12" spans="1:18" ht="24" thickTop="1" x14ac:dyDescent="0.35">
      <c r="A12" s="1"/>
      <c r="B12" s="44"/>
      <c r="C12" s="41"/>
      <c r="D12" s="41"/>
      <c r="E12" s="41"/>
      <c r="F12" s="41"/>
      <c r="G12" s="41"/>
      <c r="H12" s="42"/>
      <c r="I12" s="73" t="s">
        <v>9</v>
      </c>
      <c r="J12" s="73"/>
      <c r="K12" s="73"/>
      <c r="L12" s="74" t="s">
        <v>10</v>
      </c>
      <c r="M12" s="75"/>
      <c r="N12" s="76"/>
      <c r="O12" s="77" t="s">
        <v>11</v>
      </c>
      <c r="P12" s="78"/>
      <c r="Q12" s="78"/>
      <c r="R12" s="79"/>
    </row>
    <row r="13" spans="1:18" x14ac:dyDescent="0.2">
      <c r="A13" s="1"/>
      <c r="B13" s="38" t="s">
        <v>23</v>
      </c>
      <c r="C13" s="35" t="s">
        <v>62</v>
      </c>
      <c r="D13" s="35" t="s">
        <v>99</v>
      </c>
      <c r="E13" s="35" t="s">
        <v>115</v>
      </c>
      <c r="F13" s="35" t="s">
        <v>138</v>
      </c>
      <c r="G13" s="35" t="s">
        <v>169</v>
      </c>
      <c r="H13" s="49" t="s">
        <v>17</v>
      </c>
      <c r="I13" s="30" t="s">
        <v>170</v>
      </c>
      <c r="J13" s="31" t="s">
        <v>174</v>
      </c>
      <c r="K13" s="32" t="s">
        <v>177</v>
      </c>
      <c r="L13" s="33" t="s">
        <v>199</v>
      </c>
      <c r="M13" s="33" t="s">
        <v>202</v>
      </c>
      <c r="N13" s="33" t="s">
        <v>216</v>
      </c>
      <c r="O13" s="34" t="s">
        <v>247</v>
      </c>
      <c r="P13" s="34" t="s">
        <v>261</v>
      </c>
      <c r="Q13" s="34" t="s">
        <v>269</v>
      </c>
      <c r="R13" s="34" t="s">
        <v>270</v>
      </c>
    </row>
    <row r="14" spans="1:18" ht="12.75" hidden="1" customHeight="1" x14ac:dyDescent="0.2">
      <c r="A14" s="3"/>
      <c r="B14" s="17" t="s">
        <v>24</v>
      </c>
      <c r="C14" s="17" t="s">
        <v>63</v>
      </c>
      <c r="D14" s="18" t="s">
        <v>100</v>
      </c>
      <c r="E14" s="18" t="s">
        <v>116</v>
      </c>
      <c r="F14" s="18" t="s">
        <v>139</v>
      </c>
      <c r="G14" s="18">
        <v>3</v>
      </c>
      <c r="H14" s="18"/>
      <c r="I14" s="10"/>
      <c r="J14" s="10"/>
      <c r="K14" s="13"/>
      <c r="L14" s="9" t="s">
        <v>172</v>
      </c>
      <c r="M14" s="9">
        <v>3764170</v>
      </c>
      <c r="N14" s="9" t="s">
        <v>217</v>
      </c>
      <c r="O14" s="12"/>
      <c r="P14" s="12"/>
      <c r="Q14" s="12"/>
      <c r="R14" s="12"/>
    </row>
    <row r="15" spans="1:18" x14ac:dyDescent="0.2">
      <c r="A15" s="3"/>
      <c r="B15" s="50" t="s">
        <v>25</v>
      </c>
      <c r="C15" s="50" t="s">
        <v>64</v>
      </c>
      <c r="D15" s="50" t="s">
        <v>101</v>
      </c>
      <c r="E15" s="50" t="s">
        <v>117</v>
      </c>
      <c r="F15" s="50" t="s">
        <v>139</v>
      </c>
      <c r="G15" s="50">
        <v>6</v>
      </c>
      <c r="H15" s="50"/>
      <c r="I15" s="67" t="s">
        <v>171</v>
      </c>
      <c r="J15" s="52" t="s">
        <v>175</v>
      </c>
      <c r="K15" s="52" t="s">
        <v>178</v>
      </c>
      <c r="L15" s="64" t="s">
        <v>172</v>
      </c>
      <c r="M15" s="53">
        <v>3013532</v>
      </c>
      <c r="N15" s="53" t="s">
        <v>218</v>
      </c>
      <c r="O15" s="61"/>
      <c r="P15" s="55"/>
      <c r="Q15" s="55"/>
      <c r="R15" s="56"/>
    </row>
    <row r="16" spans="1:18" ht="12.75" customHeight="1" x14ac:dyDescent="0.2">
      <c r="A16" s="3"/>
      <c r="B16" s="50" t="s">
        <v>26</v>
      </c>
      <c r="C16" s="50" t="s">
        <v>65</v>
      </c>
      <c r="D16" s="50" t="s">
        <v>102</v>
      </c>
      <c r="E16" s="50" t="s">
        <v>118</v>
      </c>
      <c r="F16" s="50" t="s">
        <v>140</v>
      </c>
      <c r="G16" s="50">
        <v>1</v>
      </c>
      <c r="H16" s="50"/>
      <c r="I16" s="68"/>
      <c r="J16" s="52"/>
      <c r="K16" s="52"/>
      <c r="L16" s="65" t="s">
        <v>172</v>
      </c>
      <c r="M16" s="53">
        <v>2494270</v>
      </c>
      <c r="N16" s="53" t="s">
        <v>219</v>
      </c>
      <c r="O16" s="62" t="s">
        <v>248</v>
      </c>
      <c r="P16" s="57" t="s">
        <v>262</v>
      </c>
      <c r="Q16" s="57" t="s">
        <v>172</v>
      </c>
      <c r="R16" s="58">
        <v>2525131</v>
      </c>
    </row>
    <row r="17" spans="1:18" ht="12.75" customHeight="1" x14ac:dyDescent="0.2">
      <c r="A17" s="3"/>
      <c r="B17" s="50" t="s">
        <v>27</v>
      </c>
      <c r="C17" s="50" t="s">
        <v>66</v>
      </c>
      <c r="D17" s="50" t="s">
        <v>103</v>
      </c>
      <c r="E17" s="50" t="s">
        <v>119</v>
      </c>
      <c r="F17" s="50" t="s">
        <v>141</v>
      </c>
      <c r="G17" s="50">
        <v>13</v>
      </c>
      <c r="H17" s="50"/>
      <c r="I17" s="68" t="s">
        <v>172</v>
      </c>
      <c r="J17" s="52">
        <v>1458896</v>
      </c>
      <c r="K17" s="52" t="s">
        <v>179</v>
      </c>
      <c r="L17" s="65" t="s">
        <v>171</v>
      </c>
      <c r="M17" s="53" t="s">
        <v>203</v>
      </c>
      <c r="N17" s="53" t="s">
        <v>220</v>
      </c>
      <c r="O17" s="62" t="s">
        <v>249</v>
      </c>
      <c r="P17" s="57" t="s">
        <v>263</v>
      </c>
      <c r="Q17" s="57" t="s">
        <v>172</v>
      </c>
      <c r="R17" s="58">
        <v>1740588</v>
      </c>
    </row>
    <row r="18" spans="1:18" ht="12.75" customHeight="1" x14ac:dyDescent="0.2">
      <c r="A18" s="3"/>
      <c r="B18" s="50" t="s">
        <v>28</v>
      </c>
      <c r="C18" s="50" t="s">
        <v>67</v>
      </c>
      <c r="D18" s="50" t="s">
        <v>104</v>
      </c>
      <c r="E18" s="50" t="s">
        <v>116</v>
      </c>
      <c r="F18" s="50" t="s">
        <v>141</v>
      </c>
      <c r="G18" s="50">
        <v>10</v>
      </c>
      <c r="H18" s="50"/>
      <c r="I18" s="68" t="s">
        <v>172</v>
      </c>
      <c r="J18" s="52">
        <v>2524808</v>
      </c>
      <c r="K18" s="52" t="s">
        <v>180</v>
      </c>
      <c r="L18" s="65" t="s">
        <v>171</v>
      </c>
      <c r="M18" s="53" t="s">
        <v>204</v>
      </c>
      <c r="N18" s="53" t="s">
        <v>221</v>
      </c>
      <c r="O18" s="62">
        <v>885012105016</v>
      </c>
      <c r="P18" s="57" t="s">
        <v>264</v>
      </c>
      <c r="Q18" s="57" t="s">
        <v>172</v>
      </c>
      <c r="R18" s="58">
        <v>2533933</v>
      </c>
    </row>
    <row r="19" spans="1:18" ht="12.75" customHeight="1" x14ac:dyDescent="0.2">
      <c r="A19" s="3"/>
      <c r="B19" s="50" t="s">
        <v>29</v>
      </c>
      <c r="C19" s="50" t="s">
        <v>68</v>
      </c>
      <c r="D19" s="50" t="s">
        <v>105</v>
      </c>
      <c r="E19" s="50" t="s">
        <v>119</v>
      </c>
      <c r="F19" s="50" t="s">
        <v>141</v>
      </c>
      <c r="G19" s="50">
        <v>2</v>
      </c>
      <c r="H19" s="50"/>
      <c r="I19" s="68"/>
      <c r="J19" s="52"/>
      <c r="K19" s="52"/>
      <c r="L19" s="65" t="s">
        <v>172</v>
      </c>
      <c r="M19" s="53">
        <v>3369083</v>
      </c>
      <c r="N19" s="53" t="s">
        <v>222</v>
      </c>
      <c r="O19" s="62" t="s">
        <v>250</v>
      </c>
      <c r="P19" s="57" t="s">
        <v>118</v>
      </c>
      <c r="Q19" s="57" t="s">
        <v>172</v>
      </c>
      <c r="R19" s="58">
        <v>3346199</v>
      </c>
    </row>
    <row r="20" spans="1:18" ht="12.75" customHeight="1" x14ac:dyDescent="0.2">
      <c r="A20" s="3"/>
      <c r="B20" s="50" t="s">
        <v>30</v>
      </c>
      <c r="C20" s="50" t="s">
        <v>69</v>
      </c>
      <c r="D20" s="50" t="s">
        <v>106</v>
      </c>
      <c r="E20" s="50" t="s">
        <v>119</v>
      </c>
      <c r="F20" s="50" t="s">
        <v>141</v>
      </c>
      <c r="G20" s="50">
        <v>1</v>
      </c>
      <c r="H20" s="50"/>
      <c r="I20" s="68"/>
      <c r="J20" s="52"/>
      <c r="K20" s="52"/>
      <c r="L20" s="65" t="s">
        <v>172</v>
      </c>
      <c r="M20" s="53">
        <v>3369189</v>
      </c>
      <c r="N20" s="53" t="s">
        <v>223</v>
      </c>
      <c r="O20" s="62" t="s">
        <v>251</v>
      </c>
      <c r="P20" s="57"/>
      <c r="Q20" s="57" t="s">
        <v>172</v>
      </c>
      <c r="R20" s="58">
        <v>1759376</v>
      </c>
    </row>
    <row r="21" spans="1:18" ht="25.5" x14ac:dyDescent="0.2">
      <c r="A21" s="3"/>
      <c r="B21" s="50" t="s">
        <v>31</v>
      </c>
      <c r="C21" s="50" t="s">
        <v>70</v>
      </c>
      <c r="D21" s="50" t="s">
        <v>107</v>
      </c>
      <c r="E21" s="50" t="s">
        <v>119</v>
      </c>
      <c r="F21" s="50" t="s">
        <v>141</v>
      </c>
      <c r="G21" s="50">
        <v>4</v>
      </c>
      <c r="H21" s="50"/>
      <c r="I21" s="68"/>
      <c r="J21" s="52"/>
      <c r="K21" s="52"/>
      <c r="L21" s="65" t="s">
        <v>172</v>
      </c>
      <c r="M21" s="53">
        <v>4254872</v>
      </c>
      <c r="N21" s="54" t="s">
        <v>273</v>
      </c>
      <c r="O21" s="62" t="s">
        <v>252</v>
      </c>
      <c r="P21" s="57"/>
      <c r="Q21" s="57" t="s">
        <v>172</v>
      </c>
      <c r="R21" s="58">
        <v>1758981</v>
      </c>
    </row>
    <row r="22" spans="1:18" ht="12.75" customHeight="1" x14ac:dyDescent="0.2">
      <c r="A22" s="3"/>
      <c r="B22" s="50" t="s">
        <v>32</v>
      </c>
      <c r="C22" s="50" t="s">
        <v>71</v>
      </c>
      <c r="D22" s="50" t="s">
        <v>106</v>
      </c>
      <c r="E22" s="50" t="s">
        <v>120</v>
      </c>
      <c r="F22" s="50" t="s">
        <v>142</v>
      </c>
      <c r="G22" s="50">
        <v>4</v>
      </c>
      <c r="H22" s="50"/>
      <c r="I22" s="68"/>
      <c r="J22" s="52"/>
      <c r="K22" s="52"/>
      <c r="L22" s="65" t="s">
        <v>172</v>
      </c>
      <c r="M22" s="53">
        <v>2112773</v>
      </c>
      <c r="N22" s="53" t="s">
        <v>224</v>
      </c>
      <c r="O22" s="62"/>
      <c r="P22" s="57"/>
      <c r="Q22" s="57"/>
      <c r="R22" s="58"/>
    </row>
    <row r="23" spans="1:18" ht="12.75" customHeight="1" x14ac:dyDescent="0.2">
      <c r="A23" s="3"/>
      <c r="B23" s="50" t="s">
        <v>33</v>
      </c>
      <c r="C23" s="50" t="s">
        <v>72</v>
      </c>
      <c r="D23" s="50"/>
      <c r="E23" s="50" t="s">
        <v>121</v>
      </c>
      <c r="F23" s="50" t="s">
        <v>143</v>
      </c>
      <c r="G23" s="50">
        <v>1</v>
      </c>
      <c r="H23" s="50"/>
      <c r="I23" s="68"/>
      <c r="J23" s="52"/>
      <c r="K23" s="52"/>
      <c r="L23" s="65" t="s">
        <v>172</v>
      </c>
      <c r="M23" s="53">
        <v>3530003</v>
      </c>
      <c r="N23" s="53" t="s">
        <v>225</v>
      </c>
      <c r="O23" s="62"/>
      <c r="P23" s="57"/>
      <c r="Q23" s="57"/>
      <c r="R23" s="58"/>
    </row>
    <row r="24" spans="1:18" ht="12.75" customHeight="1" x14ac:dyDescent="0.2">
      <c r="A24" s="3"/>
      <c r="B24" s="50" t="s">
        <v>34</v>
      </c>
      <c r="C24" s="50" t="s">
        <v>73</v>
      </c>
      <c r="D24" s="50"/>
      <c r="E24" s="50" t="s">
        <v>122</v>
      </c>
      <c r="F24" s="50" t="s">
        <v>144</v>
      </c>
      <c r="G24" s="50">
        <v>5</v>
      </c>
      <c r="H24" s="50"/>
      <c r="I24" s="68" t="s">
        <v>172</v>
      </c>
      <c r="J24" s="52">
        <v>3796313</v>
      </c>
      <c r="K24" s="52" t="s">
        <v>181</v>
      </c>
      <c r="L24" s="65"/>
      <c r="M24" s="53"/>
      <c r="N24" s="53"/>
      <c r="O24" s="62" t="s">
        <v>253</v>
      </c>
      <c r="P24" s="57" t="s">
        <v>265</v>
      </c>
      <c r="Q24" s="57" t="s">
        <v>172</v>
      </c>
      <c r="R24" s="58">
        <v>2575345</v>
      </c>
    </row>
    <row r="25" spans="1:18" ht="12.75" customHeight="1" x14ac:dyDescent="0.2">
      <c r="A25" s="3"/>
      <c r="B25" s="50" t="s">
        <v>35</v>
      </c>
      <c r="C25" s="50" t="s">
        <v>74</v>
      </c>
      <c r="D25" s="50"/>
      <c r="E25" s="50" t="s">
        <v>122</v>
      </c>
      <c r="F25" s="50" t="s">
        <v>145</v>
      </c>
      <c r="G25" s="50">
        <v>1</v>
      </c>
      <c r="H25" s="50"/>
      <c r="I25" s="68" t="s">
        <v>172</v>
      </c>
      <c r="J25" s="52">
        <v>3285103</v>
      </c>
      <c r="K25" s="52" t="s">
        <v>182</v>
      </c>
      <c r="L25" s="65"/>
      <c r="M25" s="53"/>
      <c r="N25" s="53"/>
      <c r="O25" s="62"/>
      <c r="P25" s="57"/>
      <c r="Q25" s="57"/>
      <c r="R25" s="58"/>
    </row>
    <row r="26" spans="1:18" ht="12.75" customHeight="1" x14ac:dyDescent="0.2">
      <c r="A26" s="3"/>
      <c r="B26" s="50" t="s">
        <v>36</v>
      </c>
      <c r="C26" s="50">
        <v>694103303002</v>
      </c>
      <c r="D26" s="50"/>
      <c r="E26" s="50" t="s">
        <v>123</v>
      </c>
      <c r="F26" s="50" t="s">
        <v>146</v>
      </c>
      <c r="G26" s="50">
        <v>1</v>
      </c>
      <c r="H26" s="50"/>
      <c r="I26" s="68" t="s">
        <v>172</v>
      </c>
      <c r="J26" s="52">
        <v>2472149</v>
      </c>
      <c r="K26" s="52" t="s">
        <v>183</v>
      </c>
      <c r="L26" s="65" t="s">
        <v>171</v>
      </c>
      <c r="M26" s="53" t="s">
        <v>205</v>
      </c>
      <c r="N26" s="53" t="s">
        <v>226</v>
      </c>
      <c r="O26" s="62"/>
      <c r="P26" s="57"/>
      <c r="Q26" s="57"/>
      <c r="R26" s="58"/>
    </row>
    <row r="27" spans="1:18" ht="12.75" customHeight="1" x14ac:dyDescent="0.2">
      <c r="A27" s="3"/>
      <c r="B27" s="50" t="s">
        <v>37</v>
      </c>
      <c r="C27" s="50" t="s">
        <v>75</v>
      </c>
      <c r="D27" s="50"/>
      <c r="E27" s="50" t="s">
        <v>124</v>
      </c>
      <c r="F27" s="50" t="s">
        <v>147</v>
      </c>
      <c r="G27" s="50">
        <v>2</v>
      </c>
      <c r="H27" s="50"/>
      <c r="I27" s="68"/>
      <c r="J27" s="52"/>
      <c r="K27" s="52"/>
      <c r="L27" s="65" t="s">
        <v>172</v>
      </c>
      <c r="M27" s="53">
        <v>9731601</v>
      </c>
      <c r="N27" s="53" t="s">
        <v>227</v>
      </c>
      <c r="O27" s="62"/>
      <c r="P27" s="57"/>
      <c r="Q27" s="57"/>
      <c r="R27" s="58"/>
    </row>
    <row r="28" spans="1:18" ht="12.75" customHeight="1" x14ac:dyDescent="0.2">
      <c r="A28" s="3"/>
      <c r="B28" s="50" t="s">
        <v>38</v>
      </c>
      <c r="C28" s="50" t="s">
        <v>76</v>
      </c>
      <c r="D28" s="50"/>
      <c r="E28" s="50" t="s">
        <v>124</v>
      </c>
      <c r="F28" s="50" t="s">
        <v>148</v>
      </c>
      <c r="G28" s="50">
        <v>1</v>
      </c>
      <c r="H28" s="50"/>
      <c r="I28" s="68" t="s">
        <v>172</v>
      </c>
      <c r="J28" s="52">
        <v>3500663</v>
      </c>
      <c r="K28" s="52" t="s">
        <v>184</v>
      </c>
      <c r="L28" s="65" t="s">
        <v>200</v>
      </c>
      <c r="M28" s="53">
        <v>8486764</v>
      </c>
      <c r="N28" s="53" t="s">
        <v>228</v>
      </c>
      <c r="O28" s="62"/>
      <c r="P28" s="57"/>
      <c r="Q28" s="57"/>
      <c r="R28" s="58"/>
    </row>
    <row r="29" spans="1:18" ht="12.75" customHeight="1" x14ac:dyDescent="0.2">
      <c r="A29" s="3"/>
      <c r="B29" s="50" t="s">
        <v>39</v>
      </c>
      <c r="C29" s="50"/>
      <c r="D29" s="50"/>
      <c r="E29" s="50"/>
      <c r="F29" s="50" t="s">
        <v>149</v>
      </c>
      <c r="G29" s="50">
        <v>1</v>
      </c>
      <c r="H29" s="50"/>
      <c r="I29" s="68"/>
      <c r="J29" s="52"/>
      <c r="K29" s="52"/>
      <c r="L29" s="65"/>
      <c r="M29" s="53"/>
      <c r="N29" s="53"/>
      <c r="O29" s="62"/>
      <c r="P29" s="57"/>
      <c r="Q29" s="57"/>
      <c r="R29" s="58"/>
    </row>
    <row r="30" spans="1:18" ht="12.75" customHeight="1" x14ac:dyDescent="0.2">
      <c r="A30" s="3"/>
      <c r="B30" s="50" t="s">
        <v>40</v>
      </c>
      <c r="C30" s="50" t="s">
        <v>77</v>
      </c>
      <c r="D30" s="50"/>
      <c r="E30" s="50" t="s">
        <v>125</v>
      </c>
      <c r="F30" s="50" t="s">
        <v>150</v>
      </c>
      <c r="G30" s="50">
        <v>1</v>
      </c>
      <c r="H30" s="50"/>
      <c r="I30" s="68"/>
      <c r="J30" s="52"/>
      <c r="K30" s="52"/>
      <c r="L30" s="65" t="s">
        <v>172</v>
      </c>
      <c r="M30" s="53">
        <v>3398664</v>
      </c>
      <c r="N30" s="53" t="s">
        <v>229</v>
      </c>
      <c r="O30" s="62"/>
      <c r="P30" s="57"/>
      <c r="Q30" s="57"/>
      <c r="R30" s="58"/>
    </row>
    <row r="31" spans="1:18" ht="12.75" customHeight="1" x14ac:dyDescent="0.2">
      <c r="A31" s="3"/>
      <c r="B31" s="50" t="s">
        <v>41</v>
      </c>
      <c r="C31" s="50" t="s">
        <v>78</v>
      </c>
      <c r="D31" s="50" t="s">
        <v>108</v>
      </c>
      <c r="E31" s="50" t="s">
        <v>122</v>
      </c>
      <c r="F31" s="50" t="s">
        <v>151</v>
      </c>
      <c r="G31" s="50">
        <v>17</v>
      </c>
      <c r="H31" s="50"/>
      <c r="I31" s="68" t="s">
        <v>172</v>
      </c>
      <c r="J31" s="52">
        <v>9331662</v>
      </c>
      <c r="K31" s="52" t="s">
        <v>185</v>
      </c>
      <c r="L31" s="65"/>
      <c r="M31" s="53"/>
      <c r="N31" s="53"/>
      <c r="O31" s="62" t="s">
        <v>254</v>
      </c>
      <c r="P31" s="57" t="s">
        <v>266</v>
      </c>
      <c r="Q31" s="57" t="s">
        <v>172</v>
      </c>
      <c r="R31" s="58">
        <v>2447743</v>
      </c>
    </row>
    <row r="32" spans="1:18" ht="12.75" customHeight="1" x14ac:dyDescent="0.2">
      <c r="A32" s="3"/>
      <c r="B32" s="50" t="s">
        <v>42</v>
      </c>
      <c r="C32" s="50" t="s">
        <v>79</v>
      </c>
      <c r="D32" s="50" t="s">
        <v>109</v>
      </c>
      <c r="E32" s="50" t="s">
        <v>126</v>
      </c>
      <c r="F32" s="50" t="s">
        <v>151</v>
      </c>
      <c r="G32" s="50">
        <v>2</v>
      </c>
      <c r="H32" s="50"/>
      <c r="I32" s="68" t="s">
        <v>172</v>
      </c>
      <c r="J32" s="52">
        <v>4009056</v>
      </c>
      <c r="K32" s="52" t="s">
        <v>186</v>
      </c>
      <c r="L32" s="65" t="s">
        <v>171</v>
      </c>
      <c r="M32" s="53" t="s">
        <v>206</v>
      </c>
      <c r="N32" s="53" t="s">
        <v>230</v>
      </c>
      <c r="O32" s="62" t="s">
        <v>255</v>
      </c>
      <c r="P32" s="57" t="s">
        <v>267</v>
      </c>
      <c r="Q32" s="57" t="s">
        <v>171</v>
      </c>
      <c r="R32" s="58" t="s">
        <v>271</v>
      </c>
    </row>
    <row r="33" spans="1:18" ht="12.75" customHeight="1" x14ac:dyDescent="0.2">
      <c r="A33" s="3"/>
      <c r="B33" s="50" t="s">
        <v>43</v>
      </c>
      <c r="C33" s="50" t="s">
        <v>80</v>
      </c>
      <c r="D33" s="50" t="s">
        <v>109</v>
      </c>
      <c r="E33" s="50" t="s">
        <v>119</v>
      </c>
      <c r="F33" s="50" t="s">
        <v>152</v>
      </c>
      <c r="G33" s="50">
        <v>15</v>
      </c>
      <c r="H33" s="50"/>
      <c r="I33" s="68" t="s">
        <v>172</v>
      </c>
      <c r="J33" s="52">
        <v>9234136</v>
      </c>
      <c r="K33" s="52" t="s">
        <v>187</v>
      </c>
      <c r="L33" s="65" t="s">
        <v>171</v>
      </c>
      <c r="M33" s="53" t="s">
        <v>207</v>
      </c>
      <c r="N33" s="53" t="s">
        <v>231</v>
      </c>
      <c r="O33" s="62" t="s">
        <v>256</v>
      </c>
      <c r="P33" s="57"/>
      <c r="Q33" s="57" t="s">
        <v>172</v>
      </c>
      <c r="R33" s="58">
        <v>2073612</v>
      </c>
    </row>
    <row r="34" spans="1:18" ht="12.75" customHeight="1" x14ac:dyDescent="0.2">
      <c r="A34" s="3"/>
      <c r="B34" s="50" t="s">
        <v>44</v>
      </c>
      <c r="C34" s="50" t="s">
        <v>81</v>
      </c>
      <c r="D34" s="50" t="s">
        <v>110</v>
      </c>
      <c r="E34" s="50" t="s">
        <v>125</v>
      </c>
      <c r="F34" s="50" t="s">
        <v>152</v>
      </c>
      <c r="G34" s="50">
        <v>1</v>
      </c>
      <c r="H34" s="50"/>
      <c r="I34" s="68" t="s">
        <v>172</v>
      </c>
      <c r="J34" s="52">
        <v>2332077</v>
      </c>
      <c r="K34" s="52" t="s">
        <v>188</v>
      </c>
      <c r="L34" s="65" t="s">
        <v>201</v>
      </c>
      <c r="M34" s="53" t="s">
        <v>208</v>
      </c>
      <c r="N34" s="53" t="s">
        <v>232</v>
      </c>
      <c r="O34" s="62" t="s">
        <v>257</v>
      </c>
      <c r="P34" s="57" t="s">
        <v>266</v>
      </c>
      <c r="Q34" s="57" t="s">
        <v>172</v>
      </c>
      <c r="R34" s="58">
        <v>9332375</v>
      </c>
    </row>
    <row r="35" spans="1:18" ht="25.5" x14ac:dyDescent="0.2">
      <c r="A35" s="3"/>
      <c r="B35" s="50" t="s">
        <v>45</v>
      </c>
      <c r="C35" s="50" t="s">
        <v>82</v>
      </c>
      <c r="D35" s="50" t="s">
        <v>111</v>
      </c>
      <c r="E35" s="50" t="s">
        <v>122</v>
      </c>
      <c r="F35" s="50" t="s">
        <v>151</v>
      </c>
      <c r="G35" s="50">
        <v>4</v>
      </c>
      <c r="H35" s="50"/>
      <c r="I35" s="68"/>
      <c r="J35" s="52"/>
      <c r="K35" s="52"/>
      <c r="L35" s="65" t="s">
        <v>172</v>
      </c>
      <c r="M35" s="53">
        <v>2073528</v>
      </c>
      <c r="N35" s="54" t="s">
        <v>274</v>
      </c>
      <c r="O35" s="62" t="s">
        <v>258</v>
      </c>
      <c r="P35" s="57"/>
      <c r="Q35" s="57" t="s">
        <v>172</v>
      </c>
      <c r="R35" s="58">
        <v>2073522</v>
      </c>
    </row>
    <row r="36" spans="1:18" ht="12.75" customHeight="1" x14ac:dyDescent="0.2">
      <c r="A36" s="3"/>
      <c r="B36" s="50" t="s">
        <v>46</v>
      </c>
      <c r="C36" s="50" t="s">
        <v>83</v>
      </c>
      <c r="D36" s="50" t="s">
        <v>112</v>
      </c>
      <c r="E36" s="50" t="s">
        <v>119</v>
      </c>
      <c r="F36" s="50" t="s">
        <v>153</v>
      </c>
      <c r="G36" s="50">
        <v>1</v>
      </c>
      <c r="H36" s="50"/>
      <c r="I36" s="68"/>
      <c r="J36" s="52"/>
      <c r="K36" s="52"/>
      <c r="L36" s="65" t="s">
        <v>172</v>
      </c>
      <c r="M36" s="53">
        <v>3951243</v>
      </c>
      <c r="N36" s="53" t="s">
        <v>233</v>
      </c>
      <c r="O36" s="62" t="s">
        <v>259</v>
      </c>
      <c r="P36" s="57" t="s">
        <v>121</v>
      </c>
      <c r="Q36" s="57" t="s">
        <v>172</v>
      </c>
      <c r="R36" s="58">
        <v>2141013</v>
      </c>
    </row>
    <row r="37" spans="1:18" ht="12.75" customHeight="1" x14ac:dyDescent="0.2">
      <c r="A37" s="3"/>
      <c r="B37" s="50" t="s">
        <v>47</v>
      </c>
      <c r="C37" s="50" t="s">
        <v>84</v>
      </c>
      <c r="D37" s="50" t="s">
        <v>113</v>
      </c>
      <c r="E37" s="50" t="s">
        <v>127</v>
      </c>
      <c r="F37" s="50" t="s">
        <v>152</v>
      </c>
      <c r="G37" s="50">
        <v>5</v>
      </c>
      <c r="H37" s="50"/>
      <c r="I37" s="68" t="s">
        <v>172</v>
      </c>
      <c r="J37" s="52">
        <v>1652906</v>
      </c>
      <c r="K37" s="52" t="s">
        <v>189</v>
      </c>
      <c r="L37" s="65" t="s">
        <v>201</v>
      </c>
      <c r="M37" s="53" t="s">
        <v>209</v>
      </c>
      <c r="N37" s="53" t="s">
        <v>234</v>
      </c>
      <c r="O37" s="62" t="s">
        <v>260</v>
      </c>
      <c r="P37" s="57" t="s">
        <v>268</v>
      </c>
      <c r="Q37" s="57" t="s">
        <v>172</v>
      </c>
      <c r="R37" s="58">
        <v>1469862</v>
      </c>
    </row>
    <row r="38" spans="1:18" ht="12.75" customHeight="1" x14ac:dyDescent="0.2">
      <c r="A38" s="3"/>
      <c r="B38" s="50" t="s">
        <v>48</v>
      </c>
      <c r="C38" s="50" t="s">
        <v>85</v>
      </c>
      <c r="D38" s="50">
        <v>91</v>
      </c>
      <c r="E38" s="50" t="s">
        <v>128</v>
      </c>
      <c r="F38" s="50" t="s">
        <v>151</v>
      </c>
      <c r="G38" s="50">
        <v>1</v>
      </c>
      <c r="H38" s="50"/>
      <c r="I38" s="68" t="s">
        <v>172</v>
      </c>
      <c r="J38" s="52">
        <v>2335962</v>
      </c>
      <c r="K38" s="52" t="s">
        <v>190</v>
      </c>
      <c r="L38" s="65"/>
      <c r="M38" s="53"/>
      <c r="N38" s="53"/>
      <c r="O38" s="62"/>
      <c r="P38" s="57"/>
      <c r="Q38" s="57"/>
      <c r="R38" s="58"/>
    </row>
    <row r="39" spans="1:18" ht="12.75" customHeight="1" x14ac:dyDescent="0.2">
      <c r="A39" s="3"/>
      <c r="B39" s="50" t="s">
        <v>49</v>
      </c>
      <c r="C39" s="50"/>
      <c r="D39" s="50"/>
      <c r="E39" s="50"/>
      <c r="F39" s="50" t="s">
        <v>154</v>
      </c>
      <c r="G39" s="50">
        <v>1</v>
      </c>
      <c r="H39" s="50"/>
      <c r="I39" s="68"/>
      <c r="J39" s="52"/>
      <c r="K39" s="52"/>
      <c r="L39" s="65"/>
      <c r="M39" s="53"/>
      <c r="N39" s="53"/>
      <c r="O39" s="62"/>
      <c r="P39" s="57"/>
      <c r="Q39" s="57"/>
      <c r="R39" s="58"/>
    </row>
    <row r="40" spans="1:18" ht="12.75" customHeight="1" x14ac:dyDescent="0.2">
      <c r="A40" s="3"/>
      <c r="B40" s="50" t="s">
        <v>50</v>
      </c>
      <c r="C40" s="50" t="s">
        <v>86</v>
      </c>
      <c r="D40" s="50"/>
      <c r="E40" s="50" t="s">
        <v>129</v>
      </c>
      <c r="F40" s="50" t="s">
        <v>155</v>
      </c>
      <c r="G40" s="50">
        <v>2</v>
      </c>
      <c r="H40" s="50"/>
      <c r="I40" s="68" t="s">
        <v>172</v>
      </c>
      <c r="J40" s="52">
        <v>2663532</v>
      </c>
      <c r="K40" s="52" t="s">
        <v>191</v>
      </c>
      <c r="L40" s="65" t="s">
        <v>171</v>
      </c>
      <c r="M40" s="53" t="s">
        <v>210</v>
      </c>
      <c r="N40" s="53" t="s">
        <v>235</v>
      </c>
      <c r="O40" s="62"/>
      <c r="P40" s="57"/>
      <c r="Q40" s="57"/>
      <c r="R40" s="58"/>
    </row>
    <row r="41" spans="1:18" ht="12.75" customHeight="1" x14ac:dyDescent="0.2">
      <c r="A41" s="3"/>
      <c r="B41" s="50" t="s">
        <v>51</v>
      </c>
      <c r="C41" s="50" t="s">
        <v>87</v>
      </c>
      <c r="D41" s="50"/>
      <c r="E41" s="50" t="s">
        <v>130</v>
      </c>
      <c r="F41" s="50" t="s">
        <v>156</v>
      </c>
      <c r="G41" s="50">
        <v>4</v>
      </c>
      <c r="H41" s="50"/>
      <c r="I41" s="68" t="s">
        <v>173</v>
      </c>
      <c r="J41" s="52" t="s">
        <v>176</v>
      </c>
      <c r="K41" s="52" t="s">
        <v>192</v>
      </c>
      <c r="L41" s="65"/>
      <c r="M41" s="53"/>
      <c r="N41" s="53"/>
      <c r="O41" s="62"/>
      <c r="P41" s="57"/>
      <c r="Q41" s="57"/>
      <c r="R41" s="58"/>
    </row>
    <row r="42" spans="1:18" ht="38.25" x14ac:dyDescent="0.2">
      <c r="A42" s="3"/>
      <c r="B42" s="51" t="s">
        <v>272</v>
      </c>
      <c r="C42" s="50"/>
      <c r="D42" s="50"/>
      <c r="E42" s="50"/>
      <c r="F42" s="50" t="s">
        <v>157</v>
      </c>
      <c r="G42" s="50">
        <v>32</v>
      </c>
      <c r="H42" s="50"/>
      <c r="I42" s="68"/>
      <c r="J42" s="52"/>
      <c r="K42" s="52"/>
      <c r="L42" s="65"/>
      <c r="M42" s="53"/>
      <c r="N42" s="53"/>
      <c r="O42" s="62"/>
      <c r="P42" s="57"/>
      <c r="Q42" s="57"/>
      <c r="R42" s="58"/>
    </row>
    <row r="43" spans="1:18" ht="12.75" customHeight="1" x14ac:dyDescent="0.2">
      <c r="A43" s="3"/>
      <c r="B43" s="50" t="s">
        <v>52</v>
      </c>
      <c r="C43" s="50" t="s">
        <v>88</v>
      </c>
      <c r="D43" s="50"/>
      <c r="E43" s="50" t="s">
        <v>131</v>
      </c>
      <c r="F43" s="50" t="s">
        <v>158</v>
      </c>
      <c r="G43" s="50">
        <v>1</v>
      </c>
      <c r="H43" s="50"/>
      <c r="I43" s="68" t="s">
        <v>172</v>
      </c>
      <c r="J43" s="52">
        <v>2469576</v>
      </c>
      <c r="K43" s="52" t="s">
        <v>193</v>
      </c>
      <c r="L43" s="65" t="s">
        <v>171</v>
      </c>
      <c r="M43" s="53" t="s">
        <v>88</v>
      </c>
      <c r="N43" s="53" t="s">
        <v>236</v>
      </c>
      <c r="O43" s="62"/>
      <c r="P43" s="57"/>
      <c r="Q43" s="57"/>
      <c r="R43" s="58"/>
    </row>
    <row r="44" spans="1:18" ht="12.75" customHeight="1" x14ac:dyDescent="0.2">
      <c r="A44" s="3"/>
      <c r="B44" s="50" t="s">
        <v>12</v>
      </c>
      <c r="C44" s="50" t="s">
        <v>89</v>
      </c>
      <c r="D44" s="50"/>
      <c r="E44" s="50" t="s">
        <v>132</v>
      </c>
      <c r="F44" s="50" t="s">
        <v>159</v>
      </c>
      <c r="G44" s="50">
        <v>1</v>
      </c>
      <c r="H44" s="50"/>
      <c r="I44" s="68" t="s">
        <v>172</v>
      </c>
      <c r="J44" s="52">
        <v>2910029</v>
      </c>
      <c r="K44" s="52" t="s">
        <v>194</v>
      </c>
      <c r="L44" s="65" t="s">
        <v>171</v>
      </c>
      <c r="M44" s="53" t="s">
        <v>211</v>
      </c>
      <c r="N44" s="53" t="s">
        <v>237</v>
      </c>
      <c r="O44" s="62"/>
      <c r="P44" s="57"/>
      <c r="Q44" s="57"/>
      <c r="R44" s="58"/>
    </row>
    <row r="45" spans="1:18" ht="12.75" customHeight="1" x14ac:dyDescent="0.2">
      <c r="A45" s="3"/>
      <c r="B45" s="50" t="s">
        <v>53</v>
      </c>
      <c r="C45" s="50" t="s">
        <v>90</v>
      </c>
      <c r="D45" s="50"/>
      <c r="E45" s="50" t="s">
        <v>133</v>
      </c>
      <c r="F45" s="50" t="s">
        <v>160</v>
      </c>
      <c r="G45" s="50">
        <v>1</v>
      </c>
      <c r="H45" s="50"/>
      <c r="I45" s="68" t="s">
        <v>172</v>
      </c>
      <c r="J45" s="52">
        <v>2517273</v>
      </c>
      <c r="K45" s="52" t="s">
        <v>195</v>
      </c>
      <c r="L45" s="65" t="s">
        <v>171</v>
      </c>
      <c r="M45" s="53" t="s">
        <v>212</v>
      </c>
      <c r="N45" s="53" t="s">
        <v>238</v>
      </c>
      <c r="O45" s="62"/>
      <c r="P45" s="57"/>
      <c r="Q45" s="57"/>
      <c r="R45" s="58"/>
    </row>
    <row r="46" spans="1:18" ht="12.75" customHeight="1" x14ac:dyDescent="0.2">
      <c r="A46" s="3"/>
      <c r="B46" s="50" t="s">
        <v>54</v>
      </c>
      <c r="C46" s="50" t="s">
        <v>91</v>
      </c>
      <c r="D46" s="50"/>
      <c r="E46" s="50" t="s">
        <v>134</v>
      </c>
      <c r="F46" s="50" t="s">
        <v>161</v>
      </c>
      <c r="G46" s="50">
        <v>4</v>
      </c>
      <c r="H46" s="50"/>
      <c r="I46" s="68"/>
      <c r="J46" s="52"/>
      <c r="K46" s="52"/>
      <c r="L46" s="65" t="s">
        <v>172</v>
      </c>
      <c r="M46" s="53">
        <v>3102788</v>
      </c>
      <c r="N46" s="53" t="s">
        <v>239</v>
      </c>
      <c r="O46" s="62"/>
      <c r="P46" s="57"/>
      <c r="Q46" s="57"/>
      <c r="R46" s="58"/>
    </row>
    <row r="47" spans="1:18" ht="12.75" customHeight="1" x14ac:dyDescent="0.2">
      <c r="A47" s="3"/>
      <c r="B47" s="50" t="s">
        <v>55</v>
      </c>
      <c r="C47" s="50" t="s">
        <v>92</v>
      </c>
      <c r="D47" s="50"/>
      <c r="E47" s="50" t="s">
        <v>133</v>
      </c>
      <c r="F47" s="50" t="s">
        <v>162</v>
      </c>
      <c r="G47" s="50">
        <v>2</v>
      </c>
      <c r="H47" s="50"/>
      <c r="I47" s="68" t="s">
        <v>172</v>
      </c>
      <c r="J47" s="52">
        <v>2516304</v>
      </c>
      <c r="K47" s="52" t="s">
        <v>196</v>
      </c>
      <c r="L47" s="65" t="s">
        <v>171</v>
      </c>
      <c r="M47" s="53" t="s">
        <v>213</v>
      </c>
      <c r="N47" s="53" t="s">
        <v>240</v>
      </c>
      <c r="O47" s="62"/>
      <c r="P47" s="57"/>
      <c r="Q47" s="57"/>
      <c r="R47" s="58"/>
    </row>
    <row r="48" spans="1:18" ht="12.75" customHeight="1" x14ac:dyDescent="0.2">
      <c r="A48" s="3"/>
      <c r="B48" s="50" t="s">
        <v>56</v>
      </c>
      <c r="C48" s="50" t="s">
        <v>93</v>
      </c>
      <c r="D48" s="50"/>
      <c r="E48" s="50" t="s">
        <v>135</v>
      </c>
      <c r="F48" s="50" t="s">
        <v>163</v>
      </c>
      <c r="G48" s="50">
        <v>1</v>
      </c>
      <c r="H48" s="50"/>
      <c r="I48" s="68"/>
      <c r="J48" s="52"/>
      <c r="K48" s="52"/>
      <c r="L48" s="65" t="s">
        <v>172</v>
      </c>
      <c r="M48" s="53">
        <v>3116501</v>
      </c>
      <c r="N48" s="53" t="s">
        <v>241</v>
      </c>
      <c r="O48" s="62"/>
      <c r="P48" s="57"/>
      <c r="Q48" s="57"/>
      <c r="R48" s="58"/>
    </row>
    <row r="49" spans="1:18" ht="12.75" customHeight="1" x14ac:dyDescent="0.2">
      <c r="A49" s="3"/>
      <c r="B49" s="50" t="s">
        <v>57</v>
      </c>
      <c r="C49" s="50" t="s">
        <v>94</v>
      </c>
      <c r="D49" s="50"/>
      <c r="E49" s="50" t="s">
        <v>136</v>
      </c>
      <c r="F49" s="50" t="s">
        <v>164</v>
      </c>
      <c r="G49" s="50">
        <v>1</v>
      </c>
      <c r="H49" s="50"/>
      <c r="I49" s="68"/>
      <c r="J49" s="52"/>
      <c r="K49" s="52"/>
      <c r="L49" s="65" t="s">
        <v>172</v>
      </c>
      <c r="M49" s="53" t="s">
        <v>94</v>
      </c>
      <c r="N49" s="53" t="s">
        <v>242</v>
      </c>
      <c r="O49" s="62"/>
      <c r="P49" s="57"/>
      <c r="Q49" s="57"/>
      <c r="R49" s="58"/>
    </row>
    <row r="50" spans="1:18" ht="12.75" customHeight="1" x14ac:dyDescent="0.2">
      <c r="A50" s="3"/>
      <c r="B50" s="50" t="s">
        <v>58</v>
      </c>
      <c r="C50" s="50" t="s">
        <v>95</v>
      </c>
      <c r="D50" s="50"/>
      <c r="E50" s="50" t="s">
        <v>137</v>
      </c>
      <c r="F50" s="50" t="s">
        <v>165</v>
      </c>
      <c r="G50" s="50">
        <v>1</v>
      </c>
      <c r="H50" s="50"/>
      <c r="I50" s="68" t="s">
        <v>172</v>
      </c>
      <c r="J50" s="52">
        <v>3483073</v>
      </c>
      <c r="K50" s="52" t="s">
        <v>197</v>
      </c>
      <c r="L50" s="65" t="s">
        <v>171</v>
      </c>
      <c r="M50" s="53" t="s">
        <v>214</v>
      </c>
      <c r="N50" s="53" t="s">
        <v>243</v>
      </c>
      <c r="O50" s="62"/>
      <c r="P50" s="57"/>
      <c r="Q50" s="57"/>
      <c r="R50" s="58"/>
    </row>
    <row r="51" spans="1:18" ht="12.75" customHeight="1" x14ac:dyDescent="0.2">
      <c r="A51" s="3"/>
      <c r="B51" s="50" t="s">
        <v>59</v>
      </c>
      <c r="C51" s="50" t="s">
        <v>96</v>
      </c>
      <c r="D51" s="50"/>
      <c r="E51" s="50" t="s">
        <v>137</v>
      </c>
      <c r="F51" s="50" t="s">
        <v>166</v>
      </c>
      <c r="G51" s="50">
        <v>1</v>
      </c>
      <c r="H51" s="50"/>
      <c r="I51" s="68" t="s">
        <v>172</v>
      </c>
      <c r="J51" s="52">
        <v>3864505</v>
      </c>
      <c r="K51" s="52" t="s">
        <v>198</v>
      </c>
      <c r="L51" s="65" t="s">
        <v>201</v>
      </c>
      <c r="M51" s="53" t="s">
        <v>215</v>
      </c>
      <c r="N51" s="53" t="s">
        <v>244</v>
      </c>
      <c r="O51" s="62"/>
      <c r="P51" s="57"/>
      <c r="Q51" s="57"/>
      <c r="R51" s="58"/>
    </row>
    <row r="52" spans="1:18" ht="12.75" customHeight="1" x14ac:dyDescent="0.2">
      <c r="A52" s="3"/>
      <c r="B52" s="50" t="s">
        <v>60</v>
      </c>
      <c r="C52" s="50" t="s">
        <v>97</v>
      </c>
      <c r="D52" s="50" t="s">
        <v>114</v>
      </c>
      <c r="E52" s="50" t="s">
        <v>122</v>
      </c>
      <c r="F52" s="50" t="s">
        <v>167</v>
      </c>
      <c r="G52" s="50">
        <v>1</v>
      </c>
      <c r="H52" s="50"/>
      <c r="I52" s="68"/>
      <c r="J52" s="52"/>
      <c r="K52" s="52"/>
      <c r="L52" s="65" t="s">
        <v>172</v>
      </c>
      <c r="M52" s="53">
        <v>2853878</v>
      </c>
      <c r="N52" s="53" t="s">
        <v>245</v>
      </c>
      <c r="O52" s="62"/>
      <c r="P52" s="57"/>
      <c r="Q52" s="57"/>
      <c r="R52" s="58"/>
    </row>
    <row r="53" spans="1:18" ht="12.75" customHeight="1" x14ac:dyDescent="0.2">
      <c r="A53" s="3"/>
      <c r="B53" s="50" t="s">
        <v>61</v>
      </c>
      <c r="C53" s="50" t="s">
        <v>98</v>
      </c>
      <c r="D53" s="50"/>
      <c r="E53" s="50" t="s">
        <v>122</v>
      </c>
      <c r="F53" s="50" t="s">
        <v>168</v>
      </c>
      <c r="G53" s="50">
        <v>1</v>
      </c>
      <c r="H53" s="50"/>
      <c r="I53" s="68"/>
      <c r="J53" s="52"/>
      <c r="K53" s="52"/>
      <c r="L53" s="65" t="s">
        <v>172</v>
      </c>
      <c r="M53" s="53">
        <v>2854277</v>
      </c>
      <c r="N53" s="53" t="s">
        <v>246</v>
      </c>
      <c r="O53" s="62"/>
      <c r="P53" s="57"/>
      <c r="Q53" s="57"/>
      <c r="R53" s="58"/>
    </row>
    <row r="54" spans="1:18" ht="13.5" thickBot="1" x14ac:dyDescent="0.25">
      <c r="A54" s="3"/>
      <c r="B54" s="50"/>
      <c r="C54" s="50"/>
      <c r="D54" s="50"/>
      <c r="E54" s="50"/>
      <c r="F54" s="50"/>
      <c r="G54" s="50"/>
      <c r="H54" s="50"/>
      <c r="I54" s="69"/>
      <c r="J54" s="52"/>
      <c r="K54" s="52"/>
      <c r="L54" s="66"/>
      <c r="M54" s="53"/>
      <c r="N54" s="53"/>
      <c r="O54" s="63"/>
      <c r="P54" s="59"/>
      <c r="Q54" s="59"/>
      <c r="R54" s="60"/>
    </row>
    <row r="55" spans="1:18" ht="38.25" x14ac:dyDescent="0.2">
      <c r="A55" s="5"/>
      <c r="B55" s="48" t="s">
        <v>16</v>
      </c>
      <c r="C55" s="6"/>
      <c r="D55" s="6"/>
      <c r="E55" s="6"/>
      <c r="F55" s="45" t="s">
        <v>13</v>
      </c>
      <c r="G55" s="46"/>
      <c r="H55" s="46"/>
      <c r="I55" s="47" t="s">
        <v>14</v>
      </c>
      <c r="J55" s="47"/>
      <c r="K55" s="47"/>
      <c r="L55" s="47" t="s">
        <v>15</v>
      </c>
      <c r="M55" s="7"/>
      <c r="N55" s="7"/>
      <c r="O55" s="7"/>
      <c r="P55" s="7"/>
      <c r="Q55" s="7"/>
      <c r="R55" s="7"/>
    </row>
  </sheetData>
  <mergeCells count="4">
    <mergeCell ref="L11:N11"/>
    <mergeCell ref="I12:K12"/>
    <mergeCell ref="L12:N12"/>
    <mergeCell ref="O12:R12"/>
  </mergeCells>
  <phoneticPr fontId="0" type="noConversion"/>
  <conditionalFormatting sqref="B11:H11 B13:R14">
    <cfRule type="cellIs" dxfId="0" priority="46" stopIfTrue="1" operator="equal">
      <formula>"NO"</formula>
    </cfRule>
  </conditionalFormatting>
  <hyperlinks>
    <hyperlink ref="C6" r:id="rId1" xr:uid="{8AB94796-3A3F-4E97-B008-B993D473C3FB}"/>
  </hyperlinks>
  <printOptions horizontalCentered="1" verticalCentered="1"/>
  <pageMargins left="0.25" right="0.25" top="0.75" bottom="0.75" header="0.3" footer="0.3"/>
  <pageSetup paperSize="9" scale="25" orientation="landscape" blackAndWhite="1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Manufacturing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Carlson</dc:creator>
  <cp:keywords/>
  <dc:description/>
  <cp:lastModifiedBy>Thomas, Stuart</cp:lastModifiedBy>
  <cp:revision/>
  <cp:lastPrinted>2024-10-22T09:58:45Z</cp:lastPrinted>
  <dcterms:created xsi:type="dcterms:W3CDTF">2000-10-27T00:30:29Z</dcterms:created>
  <dcterms:modified xsi:type="dcterms:W3CDTF">2024-10-22T09:58:46Z</dcterms:modified>
  <cp:category/>
  <cp:contentStatus/>
</cp:coreProperties>
</file>